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B-MU_Robot_RCT_01\Desktop\MI_Compilation_UPDATED\"/>
    </mc:Choice>
  </mc:AlternateContent>
  <xr:revisionPtr revIDLastSave="0" documentId="13_ncr:1_{7FBBA932-A4F7-4EE9-8047-7DA6F356A07C}" xr6:coauthVersionLast="44" xr6:coauthVersionMax="44" xr10:uidLastSave="{00000000-0000-0000-0000-000000000000}"/>
  <bookViews>
    <workbookView xWindow="-120" yWindow="-120" windowWidth="19440" windowHeight="15000" xr2:uid="{00000000-000D-0000-FFFF-FFFF00000000}"/>
  </bookViews>
  <sheets>
    <sheet name="Setup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1" l="1"/>
  <c r="G14" i="1" s="1"/>
  <c r="C4" i="1"/>
  <c r="G13" i="1" l="1"/>
  <c r="C2" i="1" l="1"/>
  <c r="C3" i="1"/>
</calcChain>
</file>

<file path=xl/sharedStrings.xml><?xml version="1.0" encoding="utf-8"?>
<sst xmlns="http://schemas.openxmlformats.org/spreadsheetml/2006/main" count="51" uniqueCount="49">
  <si>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</si>
  <si>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</si>
  <si>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</si>
  <si>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</si>
  <si>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</si>
  <si>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</si>
  <si>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</si>
  <si>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</si>
  <si>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</si>
  <si>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</si>
  <si>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</si>
  <si>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</si>
  <si>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</si>
  <si>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</si>
  <si>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</si>
  <si>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</si>
  <si>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</si>
  <si>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</si>
  <si>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</si>
  <si>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</si>
  <si>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</si>
  <si>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</si>
  <si>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</si>
  <si>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</si>
  <si>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Folder name(Current month)</t>
  </si>
  <si>
    <t>DATA ADDED BY BOT</t>
  </si>
  <si>
    <t>100% Provisioned List-FROM CENTRE.xlsx</t>
  </si>
  <si>
    <t>DRU Impairment for Workings.xls</t>
  </si>
  <si>
    <t>MU_Acct-level Impairment WORKINGS.xlsx</t>
  </si>
  <si>
    <t>MU_IFRS9_WD3_template.xlsb</t>
  </si>
  <si>
    <t>i9_mauritius_File Formating Template.xlsx</t>
  </si>
  <si>
    <t>MONTH</t>
  </si>
  <si>
    <t>YEAR</t>
  </si>
  <si>
    <t>MONTH(format - MMM/YY)</t>
  </si>
  <si>
    <t>MONTH(format - MMMYY)</t>
  </si>
  <si>
    <t xml:space="preserve">MONTH(format - MMMYY) - 1 </t>
  </si>
  <si>
    <t>Template</t>
  </si>
  <si>
    <t>04</t>
  </si>
  <si>
    <t>042021</t>
  </si>
  <si>
    <t>Centre Acct-level Imp-MU_Apr21</t>
  </si>
  <si>
    <t>100%ProvOn+Offshre+FRAUD Mar21</t>
  </si>
  <si>
    <t>Impairment Input Apr21</t>
  </si>
  <si>
    <t>Impairment WD3 Apr21</t>
  </si>
  <si>
    <t>Impairment Summary Apr21</t>
  </si>
  <si>
    <t>DRU FCY-Def Bkt-Mar21</t>
  </si>
  <si>
    <t>DRU Imp (Bkt4) Bal Mar21</t>
  </si>
  <si>
    <t>DRU Imp (Bkt 2&amp;3) Bal Mar21</t>
  </si>
  <si>
    <t>Group Fx Rate-Apr21</t>
  </si>
  <si>
    <t>i9_mauritius_Apr21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</si>
</sst>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  <xf numFmtId="49" fontId="0" fillId="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"/>
  <sheetViews>
    <sheetView tabSelected="1" topLeftCell="B1" zoomScaleNormal="100" workbookViewId="0">
      <selection activeCell="J30" sqref="J30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8" max="8" width="9.140625" style="10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C:\Users\RB-MU_Robot_RCT_01\Desktop\MI_Compilation_UPDATED\MI\042021\</v>
      </c>
      <c r="F2" s="5"/>
      <c r="G2" s="5"/>
      <c r="J2" s="6" t="s">
        <v>18</v>
      </c>
      <c r="K2" s="7" t="s">
        <v>26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C:\Users\RB-MU_Robot_RCT_01\Desktop\MI_Compilation_UPDATED\MI files\</v>
      </c>
      <c r="F3" s="5"/>
      <c r="G3" s="5"/>
      <c r="J3" s="6" t="s">
        <v>19</v>
      </c>
      <c r="K3" s="7" t="s">
        <v>27</v>
      </c>
    </row>
    <row r="4" spans="1:11" x14ac:dyDescent="0.25">
      <c r="B4" s="3" t="s">
        <v>36</v>
      </c>
      <c r="C4" s="11" t="str">
        <f ca="1">(LEFT(CELL("filename",A4),SEARCH("[",CELL("filename",A4))-1))&amp;"MU_workings - TEMPLATE"&amp;"\"</f>
        <v>C:\Users\RB-MU_Robot_RCT_01\Desktop\MI_Compilation_UPDATED\MU_workings - TEMPLATE\</v>
      </c>
      <c r="F4" s="6" t="s">
        <v>24</v>
      </c>
      <c r="G4" s="22" t="s">
        <v>38</v>
      </c>
      <c r="J4" s="5"/>
      <c r="K4" s="5"/>
    </row>
    <row r="5" spans="1:11" x14ac:dyDescent="0.25">
      <c r="F5" s="5"/>
      <c r="G5" s="5"/>
      <c r="J5" s="6" t="s">
        <v>20</v>
      </c>
      <c r="K5" s="7" t="s">
        <v>28</v>
      </c>
    </row>
    <row r="6" spans="1:11" x14ac:dyDescent="0.25">
      <c r="F6" s="5"/>
      <c r="G6" s="5"/>
      <c r="J6" s="6" t="s">
        <v>21</v>
      </c>
      <c r="K6" s="7" t="s">
        <v>29</v>
      </c>
    </row>
    <row r="7" spans="1:11" x14ac:dyDescent="0.25">
      <c r="F7" s="5"/>
      <c r="G7" s="5"/>
      <c r="J7" s="6" t="s">
        <v>22</v>
      </c>
      <c r="K7" s="7" t="s">
        <v>30</v>
      </c>
    </row>
    <row r="8" spans="1:11" x14ac:dyDescent="0.25">
      <c r="A8" s="10"/>
      <c r="B8" s="10"/>
      <c r="C8" s="12"/>
      <c r="F8" s="6" t="s">
        <v>23</v>
      </c>
      <c r="G8" s="17">
        <v>202104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6" t="s">
        <v>31</v>
      </c>
      <c r="G10" s="22" t="s">
        <v>37</v>
      </c>
      <c r="J10" s="10"/>
      <c r="K10" s="10"/>
    </row>
    <row r="11" spans="1:11" x14ac:dyDescent="0.25">
      <c r="A11" s="10"/>
      <c r="B11" s="10"/>
      <c r="C11" s="12"/>
      <c r="F11" s="6" t="s">
        <v>32</v>
      </c>
      <c r="G11" s="17">
        <v>2021</v>
      </c>
      <c r="J11" s="10"/>
      <c r="K11" s="10"/>
    </row>
    <row r="12" spans="1:11" x14ac:dyDescent="0.25">
      <c r="A12" s="10"/>
      <c r="B12" s="10"/>
      <c r="C12" s="12"/>
      <c r="F12" s="6" t="s">
        <v>33</v>
      </c>
      <c r="G12" s="17" t="str">
        <f>G10&amp;"/"&amp;G11</f>
        <v>04/2021</v>
      </c>
      <c r="J12" s="10"/>
      <c r="K12" s="10"/>
    </row>
    <row r="13" spans="1:11" x14ac:dyDescent="0.25">
      <c r="A13" s="10"/>
      <c r="B13" s="10"/>
      <c r="C13" s="13"/>
      <c r="D13" s="1"/>
      <c r="F13" s="6" t="s">
        <v>34</v>
      </c>
      <c r="G13" s="17" t="str">
        <f>TEXT(G12,"MMMYY")</f>
        <v>Apr21</v>
      </c>
    </row>
    <row r="14" spans="1:11" x14ac:dyDescent="0.25">
      <c r="A14" s="10"/>
      <c r="B14" s="10"/>
      <c r="C14" s="12"/>
      <c r="F14" s="6" t="s">
        <v>35</v>
      </c>
      <c r="G14" s="17" t="str">
        <f>TEXT(G12-1,"MMMYY")</f>
        <v>Mar21</v>
      </c>
      <c r="J14" s="20" t="s">
        <v>25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48</v>
      </c>
    </row>
    <row r="17" spans="1:11" x14ac:dyDescent="0.25">
      <c r="A17" s="10"/>
      <c r="B17" s="10"/>
      <c r="C17" s="12"/>
      <c r="J17" s="4" t="s">
        <v>17</v>
      </c>
      <c r="K17" s="4" t="s">
        <v>47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25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47</v>
      </c>
    </row>
    <row r="23" spans="1:11" x14ac:dyDescent="0.25">
      <c r="B23" s="10"/>
      <c r="C23" s="12"/>
      <c r="F23" t="s">
        <v>7</v>
      </c>
      <c r="G23" s="9" t="s">
        <v>46</v>
      </c>
    </row>
    <row r="24" spans="1:11" x14ac:dyDescent="0.25">
      <c r="B24" s="10"/>
      <c r="C24" s="12"/>
      <c r="F24" t="s">
        <v>8</v>
      </c>
      <c r="G24" s="9" t="s">
        <v>45</v>
      </c>
    </row>
    <row r="25" spans="1:11" x14ac:dyDescent="0.25">
      <c r="B25" s="10"/>
      <c r="C25" s="12"/>
      <c r="F25" t="s">
        <v>9</v>
      </c>
      <c r="G25" s="9" t="s">
        <v>44</v>
      </c>
    </row>
    <row r="26" spans="1:11" x14ac:dyDescent="0.25">
      <c r="F26" t="s">
        <v>10</v>
      </c>
      <c r="G26" s="9" t="s">
        <v>43</v>
      </c>
    </row>
    <row r="27" spans="1:11" x14ac:dyDescent="0.25">
      <c r="F27" t="s">
        <v>11</v>
      </c>
      <c r="G27" s="9" t="s">
        <v>42</v>
      </c>
    </row>
    <row r="28" spans="1:11" x14ac:dyDescent="0.25">
      <c r="F28" t="s">
        <v>12</v>
      </c>
      <c r="G28" s="9" t="s">
        <v>41</v>
      </c>
    </row>
    <row r="29" spans="1:11" x14ac:dyDescent="0.25">
      <c r="F29" t="s">
        <v>13</v>
      </c>
      <c r="G29" s="9" t="s">
        <v>40</v>
      </c>
      <c r="J29" s="16"/>
    </row>
    <row r="30" spans="1:11" x14ac:dyDescent="0.25">
      <c r="F30" t="s">
        <v>14</v>
      </c>
      <c r="G30" s="9" t="s">
        <v>39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2021-05-24T11:42:14Z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